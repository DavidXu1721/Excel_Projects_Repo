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F122A48A-C2F6-4186-A958-E41EF32C638B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<sst xmlns="http://schemas.openxmlformats.org/spreadsheetml/2006/main" count="97" uniqueCount="42">
  <si>
    <t>Payroll</t>
  </si>
  <si>
    <t>Payroll Rules</t>
  </si>
  <si>
    <t>Tax</t>
  </si>
  <si>
    <t>HMRC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</si>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</sst>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log-in-register-hmrc-online-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Q6" sqref="Q6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  <c r="F4" s="17" t="s">
        <v>3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algorithmName="SHA-512" hashValue="hvWn7grTMWYsE08umeCiJZCGoa5bG38dIBLUYxFUZKTbbyE6Dq1HmS0l6BI+G3zcMwe7eVg8xa5TvsQ1Wag9WQ==" saltValue="j3wjfmbLoBvNiTa6kHihTg==" spinCount="100000" sqref="A3:P25" name="Range1"/>
    <protectedRange sqref="B12:O16" name="Range2"/>
  </protectedRanges>
  <hyperlinks>
    <hyperlink ref="F4" r:id="rId1" xr:uid="{417A8477-D1A1-4A83-9611-6DD26D5158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D4" sqref="D4:D17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6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7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8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9</v>
      </c>
      <c r="B7" t="s">
        <v>38</v>
      </c>
      <c r="C7" s="26">
        <v>23562</v>
      </c>
      <c r="D7" t="s">
        <v>36</v>
      </c>
    </row>
    <row r="8" spans="1:10">
      <c r="A8" t="s">
        <v>10</v>
      </c>
      <c r="B8" t="s">
        <v>35</v>
      </c>
      <c r="C8" s="26">
        <v>19888</v>
      </c>
      <c r="D8" t="s">
        <v>39</v>
      </c>
    </row>
    <row r="9" spans="1:10">
      <c r="A9" t="s">
        <v>11</v>
      </c>
      <c r="B9" t="s">
        <v>35</v>
      </c>
      <c r="C9" s="26">
        <v>32918</v>
      </c>
      <c r="D9" t="s">
        <v>37</v>
      </c>
      <c r="J9" s="19"/>
    </row>
    <row r="10" spans="1:10">
      <c r="A10" t="s">
        <v>12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13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14</v>
      </c>
      <c r="B12" t="s">
        <v>35</v>
      </c>
      <c r="C12" s="26">
        <v>38296</v>
      </c>
      <c r="D12" t="s">
        <v>37</v>
      </c>
    </row>
    <row r="13" spans="1:10">
      <c r="A13" t="s">
        <v>15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16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17</v>
      </c>
      <c r="B15" t="s">
        <v>38</v>
      </c>
      <c r="C15" s="26">
        <v>20850</v>
      </c>
      <c r="D15" t="s">
        <v>37</v>
      </c>
    </row>
    <row r="16" spans="1:10">
      <c r="A16" t="s">
        <v>18</v>
      </c>
      <c r="B16" t="s">
        <v>35</v>
      </c>
      <c r="C16" s="26">
        <v>19345</v>
      </c>
      <c r="D16" t="s">
        <v>37</v>
      </c>
    </row>
    <row r="17" spans="1:6">
      <c r="A17" t="s">
        <v>19</v>
      </c>
      <c r="B17" t="s">
        <v>38</v>
      </c>
      <c r="C17" s="26">
        <v>38158</v>
      </c>
      <c r="D17" t="s">
        <v>36</v>
      </c>
    </row>
    <row r="18" spans="1:6">
      <c r="A18" s="6" t="s">
        <v>27</v>
      </c>
      <c r="B18" s="6"/>
      <c r="C18" s="27">
        <f>SUM(C4:C17)</f>
        <v>391056</v>
      </c>
      <c r="D18" s="6"/>
    </row>
    <row r="20" spans="1:6">
      <c r="A20" s="3" t="s">
        <v>34</v>
      </c>
      <c r="B20" s="3" t="s">
        <v>33</v>
      </c>
      <c r="C20" s="3" t="s">
        <v>40</v>
      </c>
      <c r="F20" s="3" t="s">
        <v>34</v>
      </c>
    </row>
    <row r="21" spans="1:6">
      <c r="A21" t="s">
        <v>36</v>
      </c>
      <c r="B21" s="25">
        <f>SUMIF($D$4:$D$17,A21,$C$4:$C$17)</f>
        <v>179898</v>
      </c>
      <c r="C21">
        <f>COUNTIF($D$4:$D$17,A21)</f>
        <v>6</v>
      </c>
      <c r="F21" s="3" t="s">
        <v>33</v>
      </c>
    </row>
    <row r="22" spans="1:6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F22" s="3" t="s">
        <v>40</v>
      </c>
    </row>
    <row r="23" spans="1:6">
      <c r="A23" t="s">
        <v>39</v>
      </c>
      <c r="B23" s="25">
        <f t="shared" si="0"/>
        <v>73601</v>
      </c>
      <c r="C23">
        <f t="shared" si="1"/>
        <v>3</v>
      </c>
    </row>
    <row r="24" spans="1:6">
      <c r="A24" s="6" t="s">
        <v>41</v>
      </c>
      <c r="B24" s="28">
        <f>SUM(B21:B23)</f>
        <v>391056</v>
      </c>
      <c r="C24" s="7">
        <f>SUM(C21:C23)</f>
        <v>14</v>
      </c>
    </row>
    <row r="26" spans="1:6">
      <c r="A26" s="3" t="s">
        <v>32</v>
      </c>
      <c r="B26" s="3" t="s">
        <v>33</v>
      </c>
      <c r="C26" s="3" t="s">
        <v>40</v>
      </c>
    </row>
    <row r="27" spans="1:6">
      <c r="A27" t="s">
        <v>35</v>
      </c>
      <c r="B27" s="25">
        <f>SUMIF($B$4:$B$17,A27,$C$4:$C$17)</f>
        <v>253587</v>
      </c>
      <c r="C27">
        <f>COUNTIF(B4:B17,A27)</f>
        <v>9</v>
      </c>
    </row>
    <row r="28" spans="1:6">
      <c r="A28" t="s">
        <v>38</v>
      </c>
      <c r="B28" s="25">
        <f>SUMIF($B$4:$B$17,A28,$C$4:$C$17)</f>
        <v>137469</v>
      </c>
      <c r="C28">
        <f>COUNTIF(B5:B17,A28)</f>
        <v>5</v>
      </c>
    </row>
    <row r="29" spans="1:6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4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G13:L45 F13:F19 F23:F45" xr:uid="{D030D69D-5A15-421E-BBED-103894BDC004}"/>
    <dataValidation type="list" allowBlank="1" showInputMessage="1" showErrorMessage="1" sqref="D4:D17" xr:uid="{357D5238-8392-4922-9795-EA47D4FC97C9}">
      <formula1>"Sales, Purchasing, Logistics"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2026-10-26T14:20:21Z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